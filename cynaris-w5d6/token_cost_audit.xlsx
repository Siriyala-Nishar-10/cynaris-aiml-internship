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%"/>
    <numFmt numFmtId="166" formatCode="$0.00"/>
    <numFmt numFmtId="167" formatCode="$0.000000"/>
    <numFmt numFmtId="168" formatCode="&quot;₹&quot;#,##0.0000"/>
    <numFmt numFmtId="169" formatCode="&quot;₹&quot;#,##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</font>
    <font>
      <name val="Arial"/>
      <color rgb="000000FF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2" fontId="5" fillId="3" borderId="0" pivotButton="0" quotePrefix="0" xfId="0"/>
    <xf numFmtId="3" fontId="5" fillId="0" borderId="0" pivotButton="0" quotePrefix="0" xfId="0"/>
    <xf numFmtId="3" fontId="5" fillId="3" borderId="0" pivotButton="0" quotePrefix="0" xfId="0"/>
    <xf numFmtId="164" fontId="5" fillId="0" borderId="0" pivotButton="0" quotePrefix="0" xfId="0"/>
    <xf numFmtId="165" fontId="5" fillId="3" borderId="0" pivotButton="0" quotePrefix="0" xfId="0"/>
    <xf numFmtId="0" fontId="3" fillId="0" borderId="0" pivotButton="0" quotePrefix="0" xfId="0"/>
    <xf numFmtId="166" fontId="5" fillId="0" borderId="0" pivotButton="0" quotePrefix="0" xfId="0"/>
    <xf numFmtId="0" fontId="3" fillId="2" borderId="0" applyAlignment="1" pivotButton="0" quotePrefix="0" xfId="0">
      <alignment vertical="center" wrapText="1"/>
    </xf>
    <xf numFmtId="0" fontId="5" fillId="0" borderId="0" pivotButton="0" quotePrefix="0" xfId="0"/>
    <xf numFmtId="3" fontId="6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3" fontId="4" fillId="0" borderId="0" pivotButton="0" quotePrefix="0" xfId="0"/>
    <xf numFmtId="165" fontId="4" fillId="0" borderId="0" pivotButton="0" quotePrefix="0" xfId="0"/>
    <xf numFmtId="169" fontId="4" fillId="0" borderId="0" pivotButton="0" quotePrefix="0" xfId="0"/>
    <xf numFmtId="3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audit</author>
  </authors>
  <commentList>
    <comment ref="B8" authorId="0" shapeId="0">
      <text>
        <t>Applied to the whole prompt as a simplification; in practice only the retrieved context is compressed.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42" customWidth="1" min="4" max="4"/>
  </cols>
  <sheetData>
    <row r="1">
      <c r="A1" s="1" t="inlineStr">
        <is>
          <t>Assumptions (LLM cost audit)</t>
        </is>
      </c>
    </row>
    <row r="2">
      <c r="A2" s="2" t="inlineStr">
        <is>
          <t>Legend: blue = input you can edit | yellow fill = replace with your own measured value | black = formula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4" t="inlineStr">
        <is>
          <t>USD to INR rate</t>
        </is>
      </c>
      <c r="B4" s="5" t="n">
        <v>88</v>
      </c>
      <c r="C4" s="4" t="inlineStr">
        <is>
          <t>Assumption: update to the current exchange rate</t>
        </is>
      </c>
    </row>
    <row r="5">
      <c r="A5" s="4" t="inlineStr">
        <is>
          <t>Output tokens per answer</t>
        </is>
      </c>
      <c r="B5" s="6" t="n">
        <v>70</v>
      </c>
      <c r="C5" s="4" t="inlineStr">
        <is>
          <t>Measured average from cost_log.csv</t>
        </is>
      </c>
    </row>
    <row r="6">
      <c r="A6" s="4" t="inlineStr">
        <is>
          <t>Queries per day</t>
        </is>
      </c>
      <c r="B6" s="7" t="n">
        <v>10000</v>
      </c>
      <c r="C6" s="4" t="inlineStr">
        <is>
          <t>Scenario from the W5D6 lesson example; change to your expected traffic</t>
        </is>
      </c>
    </row>
    <row r="7">
      <c r="A7" s="4" t="inlineStr">
        <is>
          <t>Days per month</t>
        </is>
      </c>
      <c r="B7" s="6" t="n">
        <v>30</v>
      </c>
      <c r="C7" s="4" t="inlineStr">
        <is>
          <t>Assumption</t>
        </is>
      </c>
    </row>
    <row r="8">
      <c r="A8" s="4" t="inlineStr">
        <is>
          <t>Fraction of input tokens kept after compression</t>
        </is>
      </c>
      <c r="B8" s="8" t="n">
        <v>0.389</v>
      </c>
      <c r="C8" s="4" t="inlineStr">
        <is>
          <t>Measured by compress_prompt.py (LLMLingua rate=0.4)</t>
        </is>
      </c>
    </row>
    <row r="9">
      <c r="A9" s="4" t="inlineStr">
        <is>
          <t>Semantic cache hit rate</t>
        </is>
      </c>
      <c r="B9" s="9" t="n">
        <v>0.3</v>
      </c>
      <c r="C9" s="4" t="inlineStr">
        <is>
          <t>Assumption: replace with the hit rate from the semantic cache notebook</t>
        </is>
      </c>
    </row>
    <row r="10">
      <c r="A10" s="4" t="inlineStr">
        <is>
          <t>Share of queries routed to the cheap model</t>
        </is>
      </c>
      <c r="B10" s="9" t="n">
        <v>0.7</v>
      </c>
      <c r="C10" s="4" t="inlineStr">
        <is>
          <t>W5D6 lesson: about 70% of queries can be handled by the cheap model</t>
        </is>
      </c>
    </row>
    <row r="12">
      <c r="A12" s="10" t="inlineStr">
        <is>
          <t>API prices (USD per 1M tokens)</t>
        </is>
      </c>
    </row>
    <row r="13">
      <c r="A13" s="3" t="inlineStr">
        <is>
          <t>Model</t>
        </is>
      </c>
      <c r="B13" s="3" t="inlineStr">
        <is>
          <t>Input</t>
        </is>
      </c>
      <c r="C13" s="3" t="inlineStr">
        <is>
          <t>Output</t>
        </is>
      </c>
      <c r="D13" s="3" t="inlineStr">
        <is>
          <t>Role in this audit</t>
        </is>
      </c>
    </row>
    <row r="14">
      <c r="A14" s="4" t="inlineStr">
        <is>
          <t>GPT-4o</t>
        </is>
      </c>
      <c r="B14" s="11" t="n">
        <v>5</v>
      </c>
      <c r="C14" s="11" t="n">
        <v>15</v>
      </c>
      <c r="D14" s="4" t="inlineStr">
        <is>
          <t>Strong model (baseline and escalation)</t>
        </is>
      </c>
    </row>
    <row r="15">
      <c r="A15" s="4" t="inlineStr">
        <is>
          <t>Claude Sonnet 4</t>
        </is>
      </c>
      <c r="B15" s="11" t="n">
        <v>3</v>
      </c>
      <c r="C15" s="11" t="n">
        <v>15</v>
      </c>
      <c r="D15" s="4" t="inlineStr">
        <is>
          <t>Reference only</t>
        </is>
      </c>
    </row>
    <row r="16">
      <c r="A16" s="4" t="inlineStr">
        <is>
          <t>Gemini 2.0 Flash</t>
        </is>
      </c>
      <c r="B16" s="11" t="n">
        <v>0.1</v>
      </c>
      <c r="C16" s="11" t="n">
        <v>0.4</v>
      </c>
      <c r="D16" s="4" t="inlineStr">
        <is>
          <t>Reference only</t>
        </is>
      </c>
    </row>
    <row r="17">
      <c r="A17" s="4" t="inlineStr">
        <is>
          <t>GPT-4o mini</t>
        </is>
      </c>
      <c r="B17" s="11" t="n">
        <v>0.15</v>
      </c>
      <c r="C17" s="11" t="n">
        <v>0.6</v>
      </c>
      <c r="D17" s="4" t="inlineStr">
        <is>
          <t>Cheap model (routing target)</t>
        </is>
      </c>
    </row>
    <row r="18">
      <c r="A18" s="2" t="inlineStr">
        <is>
          <t>Source: W5D6 lesson table. Check current provider pricing before quoting these figures.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2" customWidth="1" min="4" max="4"/>
    <col width="16" customWidth="1" min="5" max="5"/>
    <col width="16" customWidth="1" min="6" max="6"/>
    <col width="14" customWidth="1" min="7" max="7"/>
    <col width="16" customWidth="1" min="8" max="8"/>
    <col width="18" customWidth="1" min="9" max="9"/>
    <col width="18" customWidth="1" min="10" max="10"/>
    <col width="10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Token-cost audit: baseline vs optimised (INR)</t>
        </is>
      </c>
    </row>
    <row r="2">
      <c r="A2" s="2" t="inlineStr">
        <is>
          <t>Baseline = every query sent to GPT-4o with the full prompt. Optimised = compression + semantic cache + cheap-model routing. Monthly columns assume ALL queries use that prompt size.</t>
        </is>
      </c>
    </row>
    <row r="4" ht="45" customHeight="1">
      <c r="A4" s="12" t="inlineStr">
        <is>
          <t>Prompt size</t>
        </is>
      </c>
      <c r="B4" s="12" t="inlineStr">
        <is>
          <t>Chunks</t>
        </is>
      </c>
      <c r="C4" s="12" t="inlineStr">
        <is>
          <t>Input tokens</t>
        </is>
      </c>
      <c r="D4" s="12" t="inlineStr">
        <is>
          <t>Output tokens</t>
        </is>
      </c>
      <c r="E4" s="12" t="inlineStr">
        <is>
          <t>Baseline cost / query (USD)</t>
        </is>
      </c>
      <c r="F4" s="12" t="inlineStr">
        <is>
          <t>Baseline cost / query (INR)</t>
        </is>
      </c>
      <c r="G4" s="12" t="inlineStr">
        <is>
          <t>Optimised input tokens</t>
        </is>
      </c>
      <c r="H4" s="12" t="inlineStr">
        <is>
          <t>Cheap model cost (INR)</t>
        </is>
      </c>
      <c r="I4" s="12" t="inlineStr">
        <is>
          <t>Strong model cost, compressed (INR)</t>
        </is>
      </c>
      <c r="J4" s="12" t="inlineStr">
        <is>
          <t>Optimised cost / query (INR)</t>
        </is>
      </c>
      <c r="K4" s="12" t="inlineStr">
        <is>
          <t>Saving %</t>
        </is>
      </c>
      <c r="L4" s="12" t="inlineStr">
        <is>
          <t>Baseline / month (INR)</t>
        </is>
      </c>
      <c r="M4" s="12" t="inlineStr">
        <is>
          <t>Optimised / month (INR)</t>
        </is>
      </c>
      <c r="N4" s="12" t="inlineStr">
        <is>
          <t>Saving / month (INR)</t>
        </is>
      </c>
    </row>
    <row r="5">
      <c r="A5" s="13" t="inlineStr">
        <is>
          <t>1 chunks</t>
        </is>
      </c>
      <c r="B5" s="13" t="n">
        <v>1</v>
      </c>
      <c r="C5" s="6" t="n">
        <v>228</v>
      </c>
      <c r="D5" s="14">
        <f>Assumptions!$B$5</f>
        <v/>
      </c>
      <c r="E5" s="15">
        <f>(C5*Assumptions!$B$14+D5*Assumptions!$C$14)/1000000</f>
        <v/>
      </c>
      <c r="F5" s="16">
        <f>E5*Assumptions!$B$4</f>
        <v/>
      </c>
      <c r="G5" s="17">
        <f>C5*Assumptions!$B$8</f>
        <v/>
      </c>
      <c r="H5" s="16">
        <f>(G5*Assumptions!$B$17+D5*Assumptions!$C$17)/1000000*Assumptions!$B$4</f>
        <v/>
      </c>
      <c r="I5" s="16">
        <f>(G5*Assumptions!$B$14+D5*Assumptions!$C$14)/1000000*Assumptions!$B$4</f>
        <v/>
      </c>
      <c r="J5" s="16">
        <f>(1-Assumptions!$B$9)*(Assumptions!$B$10*H5+(1-Assumptions!$B$10)*I5)</f>
        <v/>
      </c>
      <c r="K5" s="18">
        <f>IF(F5=0,0,1-J5/F5)</f>
        <v/>
      </c>
      <c r="L5" s="19">
        <f>F5*Assumptions!$B$6*Assumptions!$B$7</f>
        <v/>
      </c>
      <c r="M5" s="19">
        <f>J5*Assumptions!$B$6*Assumptions!$B$7</f>
        <v/>
      </c>
      <c r="N5" s="19">
        <f>L5-M5</f>
        <v/>
      </c>
    </row>
    <row r="6">
      <c r="A6" s="13" t="inlineStr">
        <is>
          <t>3 chunks</t>
        </is>
      </c>
      <c r="B6" s="13" t="n">
        <v>3</v>
      </c>
      <c r="C6" s="6" t="n">
        <v>537</v>
      </c>
      <c r="D6" s="14">
        <f>Assumptions!$B$5</f>
        <v/>
      </c>
      <c r="E6" s="15">
        <f>(C6*Assumptions!$B$14+D6*Assumptions!$C$14)/1000000</f>
        <v/>
      </c>
      <c r="F6" s="16">
        <f>E6*Assumptions!$B$4</f>
        <v/>
      </c>
      <c r="G6" s="17">
        <f>C6*Assumptions!$B$8</f>
        <v/>
      </c>
      <c r="H6" s="16">
        <f>(G6*Assumptions!$B$17+D6*Assumptions!$C$17)/1000000*Assumptions!$B$4</f>
        <v/>
      </c>
      <c r="I6" s="16">
        <f>(G6*Assumptions!$B$14+D6*Assumptions!$C$14)/1000000*Assumptions!$B$4</f>
        <v/>
      </c>
      <c r="J6" s="16">
        <f>(1-Assumptions!$B$9)*(Assumptions!$B$10*H6+(1-Assumptions!$B$10)*I6)</f>
        <v/>
      </c>
      <c r="K6" s="18">
        <f>IF(F6=0,0,1-J6/F6)</f>
        <v/>
      </c>
      <c r="L6" s="19">
        <f>F6*Assumptions!$B$6*Assumptions!$B$7</f>
        <v/>
      </c>
      <c r="M6" s="19">
        <f>J6*Assumptions!$B$6*Assumptions!$B$7</f>
        <v/>
      </c>
      <c r="N6" s="19">
        <f>L6-M6</f>
        <v/>
      </c>
    </row>
    <row r="7">
      <c r="A7" s="13" t="inlineStr">
        <is>
          <t>5 chunks</t>
        </is>
      </c>
      <c r="B7" s="13" t="n">
        <v>5</v>
      </c>
      <c r="C7" s="6" t="n">
        <v>911</v>
      </c>
      <c r="D7" s="14">
        <f>Assumptions!$B$5</f>
        <v/>
      </c>
      <c r="E7" s="15">
        <f>(C7*Assumptions!$B$14+D7*Assumptions!$C$14)/1000000</f>
        <v/>
      </c>
      <c r="F7" s="16">
        <f>E7*Assumptions!$B$4</f>
        <v/>
      </c>
      <c r="G7" s="17">
        <f>C7*Assumptions!$B$8</f>
        <v/>
      </c>
      <c r="H7" s="16">
        <f>(G7*Assumptions!$B$17+D7*Assumptions!$C$17)/1000000*Assumptions!$B$4</f>
        <v/>
      </c>
      <c r="I7" s="16">
        <f>(G7*Assumptions!$B$14+D7*Assumptions!$C$14)/1000000*Assumptions!$B$4</f>
        <v/>
      </c>
      <c r="J7" s="16">
        <f>(1-Assumptions!$B$9)*(Assumptions!$B$10*H7+(1-Assumptions!$B$10)*I7)</f>
        <v/>
      </c>
      <c r="K7" s="18">
        <f>IF(F7=0,0,1-J7/F7)</f>
        <v/>
      </c>
      <c r="L7" s="19">
        <f>F7*Assumptions!$B$6*Assumptions!$B$7</f>
        <v/>
      </c>
      <c r="M7" s="19">
        <f>J7*Assumptions!$B$6*Assumptions!$B$7</f>
        <v/>
      </c>
      <c r="N7" s="19">
        <f>L7-M7</f>
        <v/>
      </c>
    </row>
    <row r="8">
      <c r="A8" s="13" t="inlineStr">
        <is>
          <t>8 chunks</t>
        </is>
      </c>
      <c r="B8" s="13" t="n">
        <v>8</v>
      </c>
      <c r="C8" s="6" t="n">
        <v>1330</v>
      </c>
      <c r="D8" s="14">
        <f>Assumptions!$B$5</f>
        <v/>
      </c>
      <c r="E8" s="15">
        <f>(C8*Assumptions!$B$14+D8*Assumptions!$C$14)/1000000</f>
        <v/>
      </c>
      <c r="F8" s="16">
        <f>E8*Assumptions!$B$4</f>
        <v/>
      </c>
      <c r="G8" s="17">
        <f>C8*Assumptions!$B$8</f>
        <v/>
      </c>
      <c r="H8" s="16">
        <f>(G8*Assumptions!$B$17+D8*Assumptions!$C$17)/1000000*Assumptions!$B$4</f>
        <v/>
      </c>
      <c r="I8" s="16">
        <f>(G8*Assumptions!$B$14+D8*Assumptions!$C$14)/1000000*Assumptions!$B$4</f>
        <v/>
      </c>
      <c r="J8" s="16">
        <f>(1-Assumptions!$B$9)*(Assumptions!$B$10*H8+(1-Assumptions!$B$10)*I8)</f>
        <v/>
      </c>
      <c r="K8" s="18">
        <f>IF(F8=0,0,1-J8/F8)</f>
        <v/>
      </c>
      <c r="L8" s="19">
        <f>F8*Assumptions!$B$6*Assumptions!$B$7</f>
        <v/>
      </c>
      <c r="M8" s="19">
        <f>J8*Assumptions!$B$6*Assumptions!$B$7</f>
        <v/>
      </c>
      <c r="N8" s="19">
        <f>L8-M8</f>
        <v/>
      </c>
    </row>
    <row r="9">
      <c r="A9" s="13" t="inlineStr">
        <is>
          <t>12 chunks</t>
        </is>
      </c>
      <c r="B9" s="13" t="n">
        <v>12</v>
      </c>
      <c r="C9" s="6" t="n">
        <v>1963</v>
      </c>
      <c r="D9" s="14">
        <f>Assumptions!$B$5</f>
        <v/>
      </c>
      <c r="E9" s="15">
        <f>(C9*Assumptions!$B$14+D9*Assumptions!$C$14)/1000000</f>
        <v/>
      </c>
      <c r="F9" s="16">
        <f>E9*Assumptions!$B$4</f>
        <v/>
      </c>
      <c r="G9" s="17">
        <f>C9*Assumptions!$B$8</f>
        <v/>
      </c>
      <c r="H9" s="16">
        <f>(G9*Assumptions!$B$17+D9*Assumptions!$C$17)/1000000*Assumptions!$B$4</f>
        <v/>
      </c>
      <c r="I9" s="16">
        <f>(G9*Assumptions!$B$14+D9*Assumptions!$C$14)/1000000*Assumptions!$B$4</f>
        <v/>
      </c>
      <c r="J9" s="16">
        <f>(1-Assumptions!$B$9)*(Assumptions!$B$10*H9+(1-Assumptions!$B$10)*I9)</f>
        <v/>
      </c>
      <c r="K9" s="18">
        <f>IF(F9=0,0,1-J9/F9)</f>
        <v/>
      </c>
      <c r="L9" s="19">
        <f>F9*Assumptions!$B$6*Assumptions!$B$7</f>
        <v/>
      </c>
      <c r="M9" s="19">
        <f>J9*Assumptions!$B$6*Assumptions!$B$7</f>
        <v/>
      </c>
      <c r="N9" s="19">
        <f>L9-M9</f>
        <v/>
      </c>
    </row>
    <row r="10">
      <c r="A10" s="10" t="inlineStr">
        <is>
          <t>Average</t>
        </is>
      </c>
      <c r="C10" s="20">
        <f>AVERAGE(C5:C9)</f>
        <v/>
      </c>
      <c r="D10" s="20">
        <f>AVERAGE(D5:D9)</f>
        <v/>
      </c>
      <c r="E10" s="21">
        <f>AVERAGE(E5:E9)</f>
        <v/>
      </c>
      <c r="F10" s="22">
        <f>AVERAGE(F5:F9)</f>
        <v/>
      </c>
      <c r="G10" s="20">
        <f>AVERAGE(G5:G9)</f>
        <v/>
      </c>
      <c r="H10" s="22">
        <f>AVERAGE(H5:H9)</f>
        <v/>
      </c>
      <c r="I10" s="22">
        <f>AVERAGE(I5:I9)</f>
        <v/>
      </c>
      <c r="J10" s="22">
        <f>AVERAGE(J5:J9)</f>
        <v/>
      </c>
      <c r="K10" s="23">
        <f>AVERAGE(K5:K9)</f>
        <v/>
      </c>
      <c r="L10" s="24">
        <f>AVERAGE(L5:L9)</f>
        <v/>
      </c>
      <c r="M10" s="24">
        <f>AVERAGE(M5:M9)</f>
        <v/>
      </c>
      <c r="N10" s="24">
        <f>AVERAGE(N5:N9)</f>
        <v/>
      </c>
    </row>
    <row r="12">
      <c r="A12" s="2" t="inlineStr">
        <is>
          <t>Green = value linked from the Assumptions sheet. Input tokens come from token_audit.py (tiktoken, GPT-4o tokenizer).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2026-10-03T07:05:19Z</dcterms:created>
  <dcterms:modified xsi:type="dcterms:W3CDTF">2026-10-03T07:05:19Z</dcterms:modified>
</cp:coreProperties>
</file>